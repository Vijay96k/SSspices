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Sheet1!$B$7:$H$26</definedName>
  </definedNames>
  <calcPr/>
</workbook>
</file>

<file path=xl/sharedStrings.xml><?xml version="1.0" encoding="utf-8"?>
<sst xmlns="http://schemas.openxmlformats.org/spreadsheetml/2006/main" count="62" uniqueCount="44">
  <si>
    <t>SHREE SHANKAR FOOD PRODUCTS</t>
  </si>
  <si>
    <t>SR.NO</t>
  </si>
  <si>
    <t>DATE</t>
  </si>
  <si>
    <t>CUSTOMER NAME</t>
  </si>
  <si>
    <t>PRODUCT</t>
  </si>
  <si>
    <t>PRODUCT WEIGHT IN KG</t>
  </si>
  <si>
    <t>RS</t>
  </si>
  <si>
    <t>REMARK</t>
  </si>
  <si>
    <t>kale tai shree swami mandir</t>
  </si>
  <si>
    <t>Goad kairy lonche</t>
  </si>
  <si>
    <t>Payment in cash</t>
  </si>
  <si>
    <t>Goad limbu lonche</t>
  </si>
  <si>
    <t>Deshmukh sir</t>
  </si>
  <si>
    <t>Limbu mirchi lonche</t>
  </si>
  <si>
    <t>Payment done online</t>
  </si>
  <si>
    <t>Archana aglave madem</t>
  </si>
  <si>
    <t>Shenga chutny</t>
  </si>
  <si>
    <t>Amar Kharat</t>
  </si>
  <si>
    <t>Payment in cash (Yadav sir taken)</t>
  </si>
  <si>
    <t>Gunture Mirchi</t>
  </si>
  <si>
    <t>Andra Lomche</t>
  </si>
  <si>
    <t>2026 START</t>
  </si>
  <si>
    <t>Swami Mandir (Guruvar)</t>
  </si>
  <si>
    <t>One payment cash other online</t>
  </si>
  <si>
    <t>TOTAL</t>
  </si>
  <si>
    <t>Investment</t>
  </si>
  <si>
    <t>Products</t>
  </si>
  <si>
    <t>Amount</t>
  </si>
  <si>
    <t>Kg</t>
  </si>
  <si>
    <t>Sell</t>
  </si>
  <si>
    <t>Column5</t>
  </si>
  <si>
    <t>Column6</t>
  </si>
  <si>
    <t>Lavangi mirchi</t>
  </si>
  <si>
    <t>Vajan kata</t>
  </si>
  <si>
    <t>NOT FOR SELL</t>
  </si>
  <si>
    <t>Seeling Machine</t>
  </si>
  <si>
    <t>Plactic bag</t>
  </si>
  <si>
    <t xml:space="preserve">PROFIT </t>
  </si>
  <si>
    <t>Total</t>
  </si>
  <si>
    <t xml:space="preserve">AMOUNT </t>
  </si>
  <si>
    <t xml:space="preserve">KG </t>
  </si>
  <si>
    <t>USE</t>
  </si>
  <si>
    <t xml:space="preserve">RS 1140 TAKEN BY KRUSHNARAO YADAV </t>
  </si>
  <si>
    <t xml:space="preserve">FOR PERSONAL USE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</si>
</sst>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 &quot;mmm"/>
    <numFmt numFmtId="165" formatCode="0.00 &quot;kg&quot;"/>
    <numFmt numFmtId="166" formatCode="[$₹]#,##0.00"/>
    <numFmt numFmtId="167" formatCode="&quot;--&quot;dm"/>
  </numFmts>
  <fonts count="8">
    <font>
      <sz val="10.0"/>
      <color rgb="FF000000"/>
      <name val="Arial"/>
      <scheme val="minor"/>
    </font>
    <font>
      <sz val="12.0"/>
      <color rgb="FF000000"/>
      <name val="Arial"/>
    </font>
    <font/>
    <font>
      <b/>
      <u/>
      <sz val="12.0"/>
      <color rgb="FFFFFFFF"/>
      <name val="Arial"/>
    </font>
    <font>
      <b/>
      <sz val="12.0"/>
      <color rgb="FFFFFFFF"/>
      <name val="Arial"/>
    </font>
    <font>
      <color theme="1"/>
      <name val="Arial"/>
      <scheme val="minor"/>
    </font>
    <font>
      <sz val="12.0"/>
      <color rgb="FF000000"/>
      <name val="Arial"/>
      <scheme val="minor"/>
    </font>
    <font>
      <sz val="11.0"/>
      <color rgb="FF000000"/>
      <name val="&quot;Aptos Narrow&quot;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156082"/>
        <bgColor rgb="FF156082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1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4B3E1"/>
      </bottom>
    </border>
    <border>
      <left style="thin">
        <color rgb="FF000000"/>
      </left>
      <top style="thin">
        <color rgb="FF000000"/>
      </top>
      <bottom style="thin">
        <color rgb="FF44B3E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0" fontId="2" numFmtId="0" xfId="0" applyBorder="1" applyFont="1"/>
    <xf borderId="2" fillId="3" fontId="3" numFmtId="0" xfId="0" applyAlignment="1" applyBorder="1" applyFill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center" readingOrder="0"/>
    </xf>
    <xf borderId="4" fillId="0" fontId="5" numFmtId="164" xfId="0" applyAlignment="1" applyBorder="1" applyFont="1" applyNumberFormat="1">
      <alignment horizontal="center" readingOrder="0"/>
    </xf>
    <xf borderId="4" fillId="4" fontId="6" numFmtId="0" xfId="0" applyAlignment="1" applyBorder="1" applyFill="1" applyFont="1">
      <alignment horizontal="center" readingOrder="0" shrinkToFit="0" wrapText="0"/>
    </xf>
    <xf borderId="4" fillId="4" fontId="1" numFmtId="165" xfId="0" applyAlignment="1" applyBorder="1" applyFont="1" applyNumberFormat="1">
      <alignment horizontal="center" readingOrder="0" shrinkToFit="0" wrapText="0"/>
    </xf>
    <xf borderId="4" fillId="0" fontId="5" numFmtId="166" xfId="0" applyAlignment="1" applyBorder="1" applyFont="1" applyNumberFormat="1">
      <alignment horizontal="center" readingOrder="0"/>
    </xf>
    <xf borderId="5" fillId="0" fontId="5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4" fillId="0" fontId="5" numFmtId="165" xfId="0" applyAlignment="1" applyBorder="1" applyFont="1" applyNumberFormat="1">
      <alignment horizontal="center" readingOrder="0"/>
    </xf>
    <xf borderId="4" fillId="0" fontId="5" numFmtId="166" xfId="0" applyAlignment="1" applyBorder="1" applyFont="1" applyNumberFormat="1">
      <alignment horizontal="center" readingOrder="0"/>
    </xf>
    <xf borderId="4" fillId="0" fontId="5" numFmtId="164" xfId="0" applyAlignment="1" applyBorder="1" applyFont="1" applyNumberFormat="1">
      <alignment horizontal="center"/>
    </xf>
    <xf borderId="4" fillId="0" fontId="5" numFmtId="0" xfId="0" applyAlignment="1" applyBorder="1" applyFont="1">
      <alignment horizontal="center"/>
    </xf>
    <xf borderId="4" fillId="0" fontId="5" numFmtId="165" xfId="0" applyAlignment="1" applyBorder="1" applyFont="1" applyNumberFormat="1">
      <alignment horizontal="center"/>
    </xf>
    <xf borderId="4" fillId="0" fontId="5" numFmtId="166" xfId="0" applyAlignment="1" applyBorder="1" applyFont="1" applyNumberFormat="1">
      <alignment horizontal="center"/>
    </xf>
    <xf borderId="4" fillId="0" fontId="5" numFmtId="167" xfId="0" applyAlignment="1" applyBorder="1" applyFont="1" applyNumberFormat="1">
      <alignment horizontal="center"/>
    </xf>
    <xf borderId="4" fillId="0" fontId="5" numFmtId="166" xfId="0" applyAlignment="1" applyBorder="1" applyFont="1" applyNumberFormat="1">
      <alignment horizontal="center"/>
    </xf>
    <xf borderId="4" fillId="0" fontId="5" numFmtId="0" xfId="0" applyBorder="1" applyFont="1"/>
    <xf borderId="0" fillId="2" fontId="1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shrinkToFit="0" vertical="bottom" wrapText="0"/>
    </xf>
    <xf borderId="8" fillId="3" fontId="4" numFmtId="0" xfId="0" applyAlignment="1" applyBorder="1" applyFont="1">
      <alignment horizontal="center" readingOrder="0" shrinkToFit="0" wrapText="0"/>
    </xf>
    <xf borderId="9" fillId="3" fontId="4" numFmtId="0" xfId="0" applyAlignment="1" applyBorder="1" applyFont="1">
      <alignment horizontal="center" readingOrder="0" shrinkToFit="0" wrapText="0"/>
    </xf>
    <xf borderId="10" fillId="3" fontId="4" numFmtId="0" xfId="0" applyAlignment="1" applyBorder="1" applyFont="1">
      <alignment horizontal="center" readingOrder="0" shrinkToFit="0" wrapText="0"/>
    </xf>
    <xf borderId="4" fillId="4" fontId="1" numFmtId="0" xfId="0" applyAlignment="1" applyBorder="1" applyFont="1">
      <alignment horizontal="center" readingOrder="0" shrinkToFit="0" wrapText="0"/>
    </xf>
    <xf borderId="4" fillId="4" fontId="1" numFmtId="166" xfId="0" applyAlignment="1" applyBorder="1" applyFont="1" applyNumberFormat="1">
      <alignment horizontal="center" shrinkToFit="0" wrapText="0"/>
    </xf>
    <xf borderId="4" fillId="4" fontId="1" numFmtId="166" xfId="0" applyAlignment="1" applyBorder="1" applyFont="1" applyNumberFormat="1">
      <alignment horizontal="center" readingOrder="0" shrinkToFit="0" wrapText="0"/>
    </xf>
    <xf borderId="4" fillId="4" fontId="1" numFmtId="0" xfId="0" applyAlignment="1" applyBorder="1" applyFont="1">
      <alignment horizontal="center" shrinkToFit="0" wrapText="0"/>
    </xf>
    <xf borderId="2" fillId="4" fontId="1" numFmtId="0" xfId="0" applyAlignment="1" applyBorder="1" applyFont="1">
      <alignment horizontal="center" readingOrder="0" shrinkToFit="0" wrapText="0"/>
    </xf>
    <xf borderId="2" fillId="4" fontId="1" numFmtId="166" xfId="0" applyAlignment="1" applyBorder="1" applyFont="1" applyNumberFormat="1">
      <alignment horizontal="center" shrinkToFit="0" wrapText="0"/>
    </xf>
    <xf borderId="2" fillId="4" fontId="1" numFmtId="165" xfId="0" applyAlignment="1" applyBorder="1" applyFont="1" applyNumberFormat="1">
      <alignment horizontal="center" readingOrder="0" shrinkToFit="0" wrapText="0"/>
    </xf>
    <xf borderId="2" fillId="4" fontId="1" numFmtId="166" xfId="0" applyAlignment="1" applyBorder="1" applyFont="1" applyNumberFormat="1">
      <alignment horizontal="center" readingOrder="0" shrinkToFit="0" wrapText="0"/>
    </xf>
    <xf borderId="2" fillId="4" fontId="1" numFmtId="0" xfId="0" applyAlignment="1" applyBorder="1" applyFont="1">
      <alignment horizontal="center" shrinkToFit="0" wrapText="0"/>
    </xf>
    <xf borderId="2" fillId="4" fontId="1" numFmtId="165" xfId="0" applyAlignment="1" applyBorder="1" applyFont="1" applyNumberFormat="1">
      <alignment horizontal="center" shrinkToFit="0" wrapText="0"/>
    </xf>
    <xf borderId="0" fillId="5" fontId="5" numFmtId="0" xfId="0" applyAlignment="1" applyFill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readingOrder="0"/>
    </xf>
    <xf borderId="4" fillId="0" fontId="5" numFmtId="166" xfId="0" applyAlignment="1" applyBorder="1" applyFont="1" applyNumberFormat="1">
      <alignment horizontal="center" vertical="center"/>
    </xf>
    <xf borderId="4" fillId="0" fontId="5" numFmtId="165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25"/>
    <col customWidth="1" min="5" max="5" width="21.88"/>
    <col customWidth="1" min="6" max="6" width="29.75"/>
    <col customWidth="1" min="8" max="8" width="34.0"/>
    <col customWidth="1" min="10" max="10" width="23.0"/>
    <col customWidth="1" min="11" max="11" width="22.0"/>
    <col customWidth="1" min="12" max="12" width="17.38"/>
  </cols>
  <sheetData>
    <row r="2">
      <c r="B2" s="1" t="s">
        <v>0</v>
      </c>
    </row>
    <row r="3">
      <c r="B3" s="2"/>
    </row>
    <row r="4">
      <c r="B4" s="2"/>
    </row>
    <row r="7">
      <c r="B7" s="3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5" t="s">
        <v>6</v>
      </c>
      <c r="H7" s="4" t="s">
        <v>7</v>
      </c>
    </row>
    <row r="8">
      <c r="B8" s="6">
        <v>1.0</v>
      </c>
      <c r="C8" s="7">
        <v>46010.0</v>
      </c>
      <c r="D8" s="8" t="s">
        <v>8</v>
      </c>
      <c r="E8" s="8" t="s">
        <v>9</v>
      </c>
      <c r="F8" s="9">
        <v>0.25</v>
      </c>
      <c r="G8" s="10">
        <v>80.0</v>
      </c>
      <c r="H8" s="8" t="s">
        <v>10</v>
      </c>
    </row>
    <row r="9">
      <c r="B9" s="6">
        <v>2.0</v>
      </c>
      <c r="C9" s="7">
        <v>46010.0</v>
      </c>
      <c r="D9" s="8" t="s">
        <v>8</v>
      </c>
      <c r="E9" s="8" t="s">
        <v>11</v>
      </c>
      <c r="F9" s="9">
        <v>0.25</v>
      </c>
      <c r="G9" s="10">
        <v>50.0</v>
      </c>
      <c r="H9" s="8" t="s">
        <v>10</v>
      </c>
    </row>
    <row r="10">
      <c r="B10" s="6">
        <v>3.0</v>
      </c>
      <c r="C10" s="7">
        <v>46010.0</v>
      </c>
      <c r="D10" s="8" t="s">
        <v>12</v>
      </c>
      <c r="E10" s="8" t="s">
        <v>13</v>
      </c>
      <c r="F10" s="9">
        <v>0.25</v>
      </c>
      <c r="G10" s="10">
        <v>70.0</v>
      </c>
      <c r="H10" s="8" t="s">
        <v>14</v>
      </c>
    </row>
    <row r="11">
      <c r="B11" s="6">
        <v>4.0</v>
      </c>
      <c r="C11" s="7">
        <v>46014.0</v>
      </c>
      <c r="D11" s="8" t="s">
        <v>15</v>
      </c>
      <c r="E11" s="8" t="s">
        <v>16</v>
      </c>
      <c r="F11" s="9">
        <v>0.2</v>
      </c>
      <c r="G11" s="10">
        <v>70.0</v>
      </c>
      <c r="H11" s="8" t="s">
        <v>10</v>
      </c>
    </row>
    <row r="12">
      <c r="B12" s="6">
        <v>5.0</v>
      </c>
      <c r="C12" s="7">
        <v>46020.0</v>
      </c>
      <c r="D12" s="8" t="s">
        <v>17</v>
      </c>
      <c r="E12" s="8" t="s">
        <v>16</v>
      </c>
      <c r="F12" s="9">
        <v>0.5</v>
      </c>
      <c r="G12" s="10">
        <v>150.0</v>
      </c>
      <c r="H12" s="8" t="s">
        <v>18</v>
      </c>
    </row>
    <row r="13">
      <c r="B13" s="6">
        <v>6.0</v>
      </c>
      <c r="C13" s="7">
        <v>46020.0</v>
      </c>
      <c r="D13" s="8" t="s">
        <v>17</v>
      </c>
      <c r="E13" s="8" t="s">
        <v>19</v>
      </c>
      <c r="F13" s="9">
        <v>0.5</v>
      </c>
      <c r="G13" s="10">
        <v>220.0</v>
      </c>
      <c r="H13" s="8" t="s">
        <v>18</v>
      </c>
    </row>
    <row r="14" ht="16.5" customHeight="1">
      <c r="B14" s="6">
        <v>7.0</v>
      </c>
      <c r="C14" s="7">
        <v>46020.0</v>
      </c>
      <c r="D14" s="8" t="s">
        <v>17</v>
      </c>
      <c r="E14" s="8" t="s">
        <v>20</v>
      </c>
      <c r="F14" s="9">
        <v>0.5</v>
      </c>
      <c r="G14" s="10">
        <v>150.0</v>
      </c>
      <c r="H14" s="8" t="s">
        <v>18</v>
      </c>
    </row>
    <row r="15">
      <c r="B15" s="11" t="s">
        <v>21</v>
      </c>
      <c r="C15" s="12"/>
      <c r="D15" s="12"/>
      <c r="E15" s="12"/>
      <c r="F15" s="12"/>
      <c r="G15" s="12"/>
      <c r="H15" s="13"/>
    </row>
    <row r="16">
      <c r="B16" s="6">
        <v>8.0</v>
      </c>
      <c r="C16" s="7">
        <v>46073.0</v>
      </c>
      <c r="D16" s="8" t="s">
        <v>22</v>
      </c>
      <c r="E16" s="8" t="s">
        <v>16</v>
      </c>
      <c r="F16" s="14">
        <v>1.8</v>
      </c>
      <c r="G16" s="15">
        <v>630.0</v>
      </c>
      <c r="H16" s="8" t="s">
        <v>23</v>
      </c>
    </row>
    <row r="17">
      <c r="B17" s="6">
        <v>9.0</v>
      </c>
      <c r="C17" s="16"/>
      <c r="D17" s="17"/>
      <c r="E17" s="17"/>
      <c r="F17" s="18"/>
      <c r="G17" s="19"/>
      <c r="H17" s="17"/>
    </row>
    <row r="18">
      <c r="B18" s="6">
        <v>10.0</v>
      </c>
      <c r="C18" s="16"/>
      <c r="D18" s="17"/>
      <c r="E18" s="17"/>
      <c r="F18" s="18"/>
      <c r="G18" s="19"/>
      <c r="H18" s="17"/>
    </row>
    <row r="19">
      <c r="B19" s="6">
        <v>11.0</v>
      </c>
      <c r="C19" s="16"/>
      <c r="D19" s="17"/>
      <c r="E19" s="17"/>
      <c r="F19" s="18"/>
      <c r="G19" s="19"/>
      <c r="H19" s="17"/>
    </row>
    <row r="20">
      <c r="B20" s="6">
        <v>12.0</v>
      </c>
      <c r="C20" s="16"/>
      <c r="D20" s="17"/>
      <c r="E20" s="17"/>
      <c r="F20" s="18"/>
      <c r="G20" s="19"/>
      <c r="H20" s="17"/>
    </row>
    <row r="21">
      <c r="B21" s="6">
        <v>13.0</v>
      </c>
      <c r="C21" s="16"/>
      <c r="D21" s="17"/>
      <c r="E21" s="17"/>
      <c r="F21" s="18"/>
      <c r="G21" s="19"/>
      <c r="H21" s="17"/>
    </row>
    <row r="22">
      <c r="B22" s="6">
        <v>14.0</v>
      </c>
      <c r="C22" s="16"/>
      <c r="D22" s="17"/>
      <c r="E22" s="17"/>
      <c r="F22" s="18"/>
      <c r="G22" s="19"/>
      <c r="H22" s="17"/>
    </row>
    <row r="23">
      <c r="B23" s="6">
        <v>15.0</v>
      </c>
      <c r="C23" s="16"/>
      <c r="D23" s="17"/>
      <c r="E23" s="17"/>
      <c r="F23" s="18"/>
      <c r="G23" s="19"/>
      <c r="H23" s="17"/>
    </row>
    <row r="24">
      <c r="B24" s="6">
        <v>16.0</v>
      </c>
      <c r="C24" s="16"/>
      <c r="D24" s="17"/>
      <c r="E24" s="17"/>
      <c r="F24" s="18"/>
      <c r="G24" s="19"/>
      <c r="H24" s="17"/>
    </row>
    <row r="25">
      <c r="B25" s="6"/>
      <c r="C25" s="20"/>
      <c r="D25" s="17"/>
      <c r="E25" s="17"/>
      <c r="F25" s="17"/>
      <c r="G25" s="17"/>
      <c r="H25" s="17"/>
    </row>
    <row r="26">
      <c r="B26" s="6" t="s">
        <v>24</v>
      </c>
      <c r="C26" s="20"/>
      <c r="D26" s="17"/>
      <c r="E26" s="17"/>
      <c r="F26" s="18">
        <f t="shared" ref="F26:G26" si="1">SUM(F8:F24)</f>
        <v>4.25</v>
      </c>
      <c r="G26" s="21">
        <f t="shared" si="1"/>
        <v>1420</v>
      </c>
      <c r="H26" s="17"/>
    </row>
    <row r="27">
      <c r="C27" s="22"/>
    </row>
    <row r="30">
      <c r="J30" s="23" t="s">
        <v>25</v>
      </c>
    </row>
    <row r="33">
      <c r="J33" s="24"/>
      <c r="K33" s="24"/>
      <c r="L33" s="24"/>
      <c r="M33" s="24"/>
      <c r="N33" s="24"/>
      <c r="O33" s="24"/>
    </row>
    <row r="34">
      <c r="J34" s="25" t="s">
        <v>26</v>
      </c>
      <c r="K34" s="26" t="s">
        <v>27</v>
      </c>
      <c r="L34" s="26" t="s">
        <v>28</v>
      </c>
      <c r="M34" s="26" t="s">
        <v>29</v>
      </c>
      <c r="N34" s="26" t="s">
        <v>30</v>
      </c>
      <c r="O34" s="27" t="s">
        <v>31</v>
      </c>
    </row>
    <row r="35">
      <c r="J35" s="28" t="s">
        <v>9</v>
      </c>
      <c r="K35" s="29"/>
      <c r="L35" s="9">
        <v>0.25</v>
      </c>
      <c r="M35" s="30">
        <v>80.0</v>
      </c>
      <c r="N35" s="31"/>
      <c r="O35" s="31"/>
    </row>
    <row r="36">
      <c r="J36" s="32" t="s">
        <v>11</v>
      </c>
      <c r="K36" s="33"/>
      <c r="L36" s="34">
        <v>0.25</v>
      </c>
      <c r="M36" s="35">
        <v>50.0</v>
      </c>
      <c r="N36" s="36"/>
      <c r="O36" s="36"/>
    </row>
    <row r="37">
      <c r="J37" s="32" t="s">
        <v>13</v>
      </c>
      <c r="K37" s="33"/>
      <c r="L37" s="34">
        <v>0.25</v>
      </c>
      <c r="M37" s="35">
        <v>70.0</v>
      </c>
      <c r="N37" s="36"/>
      <c r="O37" s="36"/>
    </row>
    <row r="38">
      <c r="J38" s="32" t="s">
        <v>16</v>
      </c>
      <c r="K38" s="33"/>
      <c r="L38" s="37">
        <f t="shared" ref="L38:M38" si="2">SUM(F11:F16)</f>
        <v>3.5</v>
      </c>
      <c r="M38" s="33">
        <f t="shared" si="2"/>
        <v>1220</v>
      </c>
      <c r="N38" s="36"/>
      <c r="O38" s="36"/>
    </row>
    <row r="39">
      <c r="J39" s="32" t="s">
        <v>19</v>
      </c>
      <c r="K39" s="33"/>
      <c r="L39" s="34">
        <v>0.5</v>
      </c>
      <c r="M39" s="35">
        <v>200.0</v>
      </c>
      <c r="N39" s="36"/>
      <c r="O39" s="36"/>
    </row>
    <row r="40">
      <c r="J40" s="32" t="s">
        <v>20</v>
      </c>
      <c r="K40" s="33"/>
      <c r="L40" s="34">
        <v>0.5</v>
      </c>
      <c r="M40" s="35">
        <v>150.0</v>
      </c>
      <c r="N40" s="36"/>
      <c r="O40" s="36"/>
    </row>
    <row r="41">
      <c r="J41" s="32" t="s">
        <v>32</v>
      </c>
      <c r="K41" s="33"/>
      <c r="L41" s="37"/>
      <c r="M41" s="33"/>
      <c r="N41" s="36"/>
      <c r="O41" s="36"/>
    </row>
    <row r="42">
      <c r="J42" s="32" t="s">
        <v>33</v>
      </c>
      <c r="K42" s="33"/>
      <c r="L42" s="34" t="s">
        <v>34</v>
      </c>
      <c r="M42" s="35">
        <v>0.0</v>
      </c>
      <c r="N42" s="36"/>
      <c r="O42" s="36"/>
    </row>
    <row r="43">
      <c r="J43" s="32" t="s">
        <v>35</v>
      </c>
      <c r="K43" s="33"/>
      <c r="L43" s="34" t="s">
        <v>34</v>
      </c>
      <c r="M43" s="35">
        <v>0.0</v>
      </c>
      <c r="N43" s="36"/>
      <c r="O43" s="36"/>
    </row>
    <row r="44">
      <c r="J44" s="32" t="s">
        <v>36</v>
      </c>
      <c r="K44" s="33"/>
      <c r="L44" s="34" t="s">
        <v>34</v>
      </c>
      <c r="M44" s="35">
        <v>0.0</v>
      </c>
      <c r="N44" s="36"/>
      <c r="O44" s="36"/>
    </row>
    <row r="45">
      <c r="J45" s="36"/>
      <c r="K45" s="33"/>
      <c r="L45" s="37"/>
      <c r="M45" s="33"/>
      <c r="N45" s="36"/>
      <c r="O45" s="36"/>
    </row>
    <row r="46">
      <c r="B46" s="38" t="s">
        <v>37</v>
      </c>
      <c r="J46" s="36"/>
      <c r="K46" s="33"/>
      <c r="L46" s="36"/>
      <c r="M46" s="33"/>
      <c r="N46" s="36"/>
      <c r="O46" s="36"/>
    </row>
    <row r="47">
      <c r="J47" s="32" t="s">
        <v>38</v>
      </c>
      <c r="K47" s="35">
        <f t="shared" ref="K47:M47" si="3">SUM(K35:K45)</f>
        <v>0</v>
      </c>
      <c r="L47" s="37">
        <f t="shared" si="3"/>
        <v>5.25</v>
      </c>
      <c r="M47" s="33">
        <f t="shared" si="3"/>
        <v>1770</v>
      </c>
      <c r="N47" s="36"/>
      <c r="O47" s="36"/>
    </row>
    <row r="49">
      <c r="B49" s="39" t="s">
        <v>39</v>
      </c>
      <c r="C49" s="39" t="s">
        <v>40</v>
      </c>
      <c r="D49" s="39" t="s">
        <v>41</v>
      </c>
      <c r="E49" s="40" t="s">
        <v>7</v>
      </c>
    </row>
    <row r="50">
      <c r="B50" s="41">
        <f>(M47)</f>
        <v>1770</v>
      </c>
      <c r="C50" s="42">
        <f>(L47)</f>
        <v>5.25</v>
      </c>
      <c r="D50" s="39" t="s">
        <v>42</v>
      </c>
      <c r="E50" s="40" t="s">
        <v>43</v>
      </c>
    </row>
    <row r="51">
      <c r="B51" s="43"/>
      <c r="C51" s="43"/>
      <c r="D51" s="43"/>
      <c r="E51" s="22"/>
    </row>
    <row r="52">
      <c r="B52" s="43"/>
      <c r="C52" s="43"/>
      <c r="D52" s="43"/>
      <c r="E52" s="22"/>
    </row>
    <row r="53">
      <c r="B53" s="43"/>
      <c r="C53" s="43"/>
      <c r="D53" s="43"/>
      <c r="E53" s="22"/>
    </row>
    <row r="54">
      <c r="B54" s="43"/>
      <c r="C54" s="43"/>
      <c r="D54" s="43"/>
      <c r="E54" s="22"/>
    </row>
    <row r="55">
      <c r="B55" s="43"/>
      <c r="C55" s="43"/>
      <c r="D55" s="43"/>
      <c r="E55" s="22"/>
    </row>
    <row r="56">
      <c r="B56" s="43"/>
      <c r="C56" s="43"/>
      <c r="D56" s="43"/>
      <c r="E56" s="22"/>
    </row>
  </sheetData>
  <autoFilter ref="$B$7:$H$26"/>
  <mergeCells count="4">
    <mergeCell ref="B2:H4"/>
    <mergeCell ref="B15:H15"/>
    <mergeCell ref="J30:O32"/>
    <mergeCell ref="B46:E47"/>
  </mergeCells>
  <hyperlinks>
    <hyperlink r:id="rId1" ref="B7"/>
  </hyperlinks>
  <drawing r:id="rId2"/>
</worksheet>
</file>